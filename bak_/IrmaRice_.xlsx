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be\Downloads\"/>
    </mc:Choice>
  </mc:AlternateContent>
  <xr:revisionPtr revIDLastSave="0" documentId="8_{C2BE529C-776E-4643-9163-0AC94330F6C9}" xr6:coauthVersionLast="47" xr6:coauthVersionMax="47" xr10:uidLastSave="{00000000-0000-0000-0000-000000000000}"/>
  <bookViews>
    <workbookView xWindow="-120" yWindow="-120" windowWidth="20730" windowHeight="11760" activeTab="2" xr2:uid="{F8C59070-174B-44D9-8950-3473ED1A7807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 a="1"/>
  <c r="C20" i="1" s="1"/>
  <c r="D20" i="1" a="1"/>
  <c r="D20" i="1" s="1"/>
  <c r="E20" i="1" a="1"/>
  <c r="E20" i="1"/>
  <c r="F20" i="1" a="1"/>
  <c r="F20" i="1" s="1"/>
  <c r="G20" i="1" a="1"/>
  <c r="G20" i="1" s="1"/>
  <c r="H20" i="1" a="1"/>
  <c r="H20" i="1" s="1"/>
  <c r="I20" i="1" a="1"/>
  <c r="I20" i="1" s="1"/>
  <c r="J20" i="1" a="1"/>
  <c r="J20" i="1" s="1"/>
  <c r="K20" i="1" a="1"/>
  <c r="K20" i="1"/>
  <c r="L20" i="1" a="1"/>
  <c r="L20" i="1" s="1"/>
  <c r="M20" i="1" a="1"/>
  <c r="M20" i="1" s="1"/>
  <c r="N20" i="1" a="1"/>
  <c r="N20" i="1" s="1"/>
  <c r="O20" i="1" a="1"/>
  <c r="O20" i="1" s="1"/>
  <c r="P20" i="1" a="1"/>
  <c r="P20" i="1" s="1"/>
  <c r="Q20" i="1" a="1"/>
  <c r="Q20" i="1" s="1"/>
  <c r="Q19" i="1" a="1"/>
  <c r="Q19" i="1" s="1"/>
  <c r="C19" i="1" a="1"/>
  <c r="C19" i="1" s="1"/>
  <c r="D19" i="1" a="1"/>
  <c r="D19" i="1" s="1"/>
  <c r="E19" i="1" a="1"/>
  <c r="E19" i="1"/>
  <c r="F19" i="1" a="1"/>
  <c r="F19" i="1" s="1"/>
  <c r="G19" i="1" a="1"/>
  <c r="G19" i="1" s="1"/>
  <c r="H19" i="1" a="1"/>
  <c r="H19" i="1" s="1"/>
  <c r="I19" i="1" a="1"/>
  <c r="I19" i="1" s="1"/>
  <c r="J19" i="1" a="1"/>
  <c r="J19" i="1" s="1"/>
  <c r="K19" i="1" a="1"/>
  <c r="K19" i="1" s="1"/>
  <c r="L19" i="1" a="1"/>
  <c r="L19" i="1" s="1"/>
  <c r="M19" i="1" a="1"/>
  <c r="M19" i="1" s="1"/>
  <c r="N19" i="1" a="1"/>
  <c r="N19" i="1" s="1"/>
  <c r="O19" i="1" a="1"/>
  <c r="O19" i="1" s="1"/>
  <c r="P19" i="1" a="1"/>
  <c r="P19" i="1" s="1"/>
  <c r="C11" i="1" a="1"/>
  <c r="C11" i="1" s="1"/>
  <c r="D11" i="1" a="1"/>
  <c r="D11" i="1" s="1"/>
  <c r="E11" i="1" a="1"/>
  <c r="E11" i="1" s="1"/>
  <c r="F11" i="1" a="1"/>
  <c r="F11" i="1" s="1"/>
  <c r="G11" i="1" a="1"/>
  <c r="G11" i="1" s="1"/>
  <c r="H11" i="1" a="1"/>
  <c r="H11" i="1"/>
  <c r="I11" i="1" a="1"/>
  <c r="I11" i="1" s="1"/>
  <c r="J11" i="1" a="1"/>
  <c r="J11" i="1" s="1"/>
  <c r="K11" i="1" a="1"/>
  <c r="K11" i="1" s="1"/>
  <c r="L11" i="1" a="1"/>
  <c r="L11" i="1" s="1"/>
  <c r="M11" i="1" a="1"/>
  <c r="M11" i="1" s="1"/>
  <c r="N11" i="1" a="1"/>
  <c r="N11" i="1" s="1"/>
  <c r="O11" i="1" a="1"/>
  <c r="O11" i="1" s="1"/>
  <c r="P11" i="1" a="1"/>
  <c r="P11" i="1" s="1"/>
  <c r="Q11" i="1" a="1"/>
  <c r="Q11" i="1" s="1"/>
  <c r="Q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C12" i="1"/>
  <c r="P9" i="1"/>
  <c r="Q9" i="1"/>
  <c r="P8" i="1"/>
  <c r="Q8" i="1"/>
  <c r="Q7" i="1"/>
  <c r="P7" i="1"/>
  <c r="P6" i="1"/>
  <c r="Q6" i="1"/>
  <c r="P5" i="1"/>
  <c r="Q5" i="1"/>
  <c r="P4" i="1"/>
  <c r="Q4" i="1"/>
  <c r="P3" i="1"/>
  <c r="Q3" i="1"/>
  <c r="P2" i="1"/>
  <c r="Q2" i="1"/>
  <c r="O2" i="1"/>
  <c r="D9" i="1"/>
  <c r="E9" i="1"/>
  <c r="F9" i="1"/>
  <c r="G9" i="1"/>
  <c r="H9" i="1"/>
  <c r="I9" i="1"/>
  <c r="J9" i="1"/>
  <c r="K9" i="1"/>
  <c r="L9" i="1"/>
  <c r="M9" i="1"/>
  <c r="N9" i="1"/>
  <c r="O9" i="1"/>
  <c r="D8" i="1"/>
  <c r="E8" i="1"/>
  <c r="F8" i="1"/>
  <c r="G8" i="1"/>
  <c r="H8" i="1"/>
  <c r="I8" i="1"/>
  <c r="J8" i="1"/>
  <c r="K8" i="1"/>
  <c r="L8" i="1"/>
  <c r="M8" i="1"/>
  <c r="N8" i="1"/>
  <c r="O8" i="1"/>
  <c r="M7" i="1"/>
  <c r="N7" i="1"/>
  <c r="O7" i="1"/>
  <c r="L7" i="1"/>
  <c r="D7" i="1"/>
  <c r="E7" i="1"/>
  <c r="F7" i="1"/>
  <c r="G7" i="1"/>
  <c r="H7" i="1"/>
  <c r="I7" i="1"/>
  <c r="J7" i="1"/>
  <c r="K7" i="1"/>
  <c r="O6" i="1"/>
  <c r="D6" i="1"/>
  <c r="E6" i="1"/>
  <c r="F6" i="1"/>
  <c r="G6" i="1"/>
  <c r="H6" i="1"/>
  <c r="I6" i="1"/>
  <c r="J6" i="1"/>
  <c r="K6" i="1"/>
  <c r="L6" i="1"/>
  <c r="M6" i="1"/>
  <c r="N6" i="1"/>
  <c r="M5" i="1"/>
  <c r="N5" i="1"/>
  <c r="O5" i="1"/>
  <c r="D5" i="1"/>
  <c r="E5" i="1"/>
  <c r="F5" i="1"/>
  <c r="G5" i="1"/>
  <c r="H5" i="1"/>
  <c r="I5" i="1"/>
  <c r="J5" i="1"/>
  <c r="K5" i="1"/>
  <c r="L5" i="1"/>
  <c r="O4" i="1"/>
  <c r="K4" i="1"/>
  <c r="L4" i="1"/>
  <c r="M4" i="1"/>
  <c r="N4" i="1"/>
  <c r="D4" i="1"/>
  <c r="E4" i="1"/>
  <c r="F4" i="1"/>
  <c r="G4" i="1"/>
  <c r="H4" i="1"/>
  <c r="I4" i="1"/>
  <c r="J4" i="1"/>
  <c r="N3" i="1"/>
  <c r="O3" i="1"/>
  <c r="D3" i="1"/>
  <c r="E3" i="1"/>
  <c r="F3" i="1"/>
  <c r="G3" i="1"/>
  <c r="H3" i="1"/>
  <c r="I3" i="1"/>
  <c r="J3" i="1"/>
  <c r="K3" i="1"/>
  <c r="L3" i="1"/>
  <c r="M3" i="1"/>
  <c r="C17" i="1"/>
  <c r="C18" i="1"/>
  <c r="C16" i="1"/>
  <c r="C15" i="1"/>
  <c r="C14" i="1"/>
  <c r="C13" i="1"/>
  <c r="C9" i="1"/>
  <c r="C8" i="1"/>
  <c r="C7" i="1"/>
  <c r="C6" i="1"/>
  <c r="C5" i="1"/>
  <c r="C4" i="1"/>
  <c r="C3" i="1"/>
  <c r="M2" i="1"/>
  <c r="N2" i="1"/>
  <c r="D2" i="1"/>
  <c r="E2" i="1"/>
  <c r="F2" i="1"/>
  <c r="G2" i="1"/>
  <c r="H2" i="1"/>
  <c r="I2" i="1"/>
  <c r="J2" i="1"/>
  <c r="K2" i="1"/>
  <c r="L2" i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<sst xmlns="http://schemas.openxmlformats.org/spreadsheetml/2006/main" count="133" uniqueCount="90">
  <si>
    <t>cebolla</t>
  </si>
  <si>
    <t>ajo</t>
  </si>
  <si>
    <t>aceite vegetal</t>
  </si>
  <si>
    <t>arroz</t>
  </si>
  <si>
    <t xml:space="preserve">elote </t>
  </si>
  <si>
    <t>gr</t>
  </si>
  <si>
    <t>chile poblano</t>
  </si>
  <si>
    <t>knor suiza</t>
  </si>
  <si>
    <t>sal</t>
  </si>
  <si>
    <t>chícharo</t>
  </si>
  <si>
    <t>zanahoria</t>
  </si>
  <si>
    <t>elote</t>
  </si>
  <si>
    <t>kcal</t>
  </si>
  <si>
    <t>proteínas</t>
  </si>
  <si>
    <t>grasas totales</t>
  </si>
  <si>
    <t>poliinsaturadas</t>
  </si>
  <si>
    <t>monoinsaturadas</t>
  </si>
  <si>
    <t>grasas saturadas</t>
  </si>
  <si>
    <t>colesterol</t>
  </si>
  <si>
    <t>hidratos de carbono disponibles</t>
  </si>
  <si>
    <t>azúcares</t>
  </si>
  <si>
    <t>azúcares añadidos</t>
  </si>
  <si>
    <t>fibra dietética</t>
  </si>
  <si>
    <t>0mg</t>
  </si>
  <si>
    <t>91 (381)</t>
  </si>
  <si>
    <t>ME FALTA</t>
  </si>
  <si>
    <t>81 (339)</t>
  </si>
  <si>
    <t>38 (157)</t>
  </si>
  <si>
    <t>c/z/e</t>
  </si>
  <si>
    <t>grasas trans mg</t>
  </si>
  <si>
    <t>sodio (mg)</t>
  </si>
  <si>
    <t>kjoules</t>
  </si>
  <si>
    <t>total porción</t>
  </si>
  <si>
    <t>total 100gr</t>
  </si>
  <si>
    <t>INFORMACIÓN NUTRIMENTAL</t>
  </si>
  <si>
    <t>Proteínas:</t>
  </si>
  <si>
    <t>Grasas totales:</t>
  </si>
  <si>
    <t>Fibra dietética:</t>
  </si>
  <si>
    <t>Sodio:</t>
  </si>
  <si>
    <t>2.9 g</t>
  </si>
  <si>
    <t>2.5 g</t>
  </si>
  <si>
    <t xml:space="preserve">  Grasas saturadas:</t>
  </si>
  <si>
    <t xml:space="preserve">  Grasas trans:</t>
  </si>
  <si>
    <t xml:space="preserve">  Azúcares añadidos:</t>
  </si>
  <si>
    <t>0 mg</t>
  </si>
  <si>
    <t>Carbohidratos disponibles</t>
  </si>
  <si>
    <t>0 g</t>
  </si>
  <si>
    <t>Contenido energético</t>
  </si>
  <si>
    <t>Por 100 g</t>
  </si>
  <si>
    <t>Por porción (320 g)</t>
  </si>
  <si>
    <t>1.1 g</t>
  </si>
  <si>
    <t>1.6 g</t>
  </si>
  <si>
    <t>0.25 g</t>
  </si>
  <si>
    <t>Colesterol</t>
  </si>
  <si>
    <t xml:space="preserve">  Azúcares totales:</t>
  </si>
  <si>
    <t>0.26 g</t>
  </si>
  <si>
    <t>0.47 g</t>
  </si>
  <si>
    <t>0.78 g</t>
  </si>
  <si>
    <t>0.38 g</t>
  </si>
  <si>
    <t>arroz rojo</t>
  </si>
  <si>
    <t>arroz blanco</t>
  </si>
  <si>
    <t>62 kcal (259 kJ)</t>
  </si>
  <si>
    <t>12 mg</t>
  </si>
  <si>
    <t>10.87 g</t>
  </si>
  <si>
    <t>819 mg</t>
  </si>
  <si>
    <t>198 kcal (830 kJ)</t>
  </si>
  <si>
    <t>3.6 g</t>
  </si>
  <si>
    <t>5.32 g</t>
  </si>
  <si>
    <t>0.81 g</t>
  </si>
  <si>
    <t>37 mg</t>
  </si>
  <si>
    <t>34.78 g</t>
  </si>
  <si>
    <t>0.84 g</t>
  </si>
  <si>
    <t>1.51 g</t>
  </si>
  <si>
    <t>2622 mg</t>
  </si>
  <si>
    <t>47 kcal (196 kJ)</t>
  </si>
  <si>
    <t>0.91 g</t>
  </si>
  <si>
    <t>0.12 g</t>
  </si>
  <si>
    <t>5.4 mg</t>
  </si>
  <si>
    <t>9.08 g</t>
  </si>
  <si>
    <t>0.17 g</t>
  </si>
  <si>
    <t>0.39 g</t>
  </si>
  <si>
    <t>530 mg</t>
  </si>
  <si>
    <t>150 kcal (629 kJ)</t>
  </si>
  <si>
    <t>17.3 mg</t>
  </si>
  <si>
    <t>29.07 g</t>
  </si>
  <si>
    <t>0.53 g</t>
  </si>
  <si>
    <t>1.24 g</t>
  </si>
  <si>
    <t>1695 mg</t>
  </si>
  <si>
    <r>
      <t xml:space="preserve">Ingredientes: </t>
    </r>
    <r>
      <rPr>
        <sz val="10"/>
        <color theme="1"/>
        <rFont val="Helvetica"/>
      </rPr>
      <t>Arroz cocido, agua, aceite vegetal, cebolla, ajo, chile poblano, elote, zanahoria, sal, condimento sabor suizo (sal yodada, glutamato monosódico, azúcar, especias).</t>
    </r>
  </si>
  <si>
    <r>
      <t xml:space="preserve">Ingredientes: </t>
    </r>
    <r>
      <rPr>
        <sz val="10"/>
        <color theme="1"/>
        <rFont val="Helvetica"/>
      </rPr>
      <t>Arroz cocido, agua, aceite vegetal, cebolla, elote, chile poblano, ajo, sal, condimento sabor suizo (sal yodada, glutamato monosódico, azúcar, especias).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</si>
</sst>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San se"/>
    </font>
    <font>
      <sz val="11"/>
      <color theme="1"/>
      <name val="Helvetica"/>
    </font>
    <font>
      <b/>
      <sz val="11"/>
      <color theme="1"/>
      <name val="Helvetica"/>
    </font>
    <font>
      <b/>
      <sz val="16"/>
      <color theme="1"/>
      <name val="Helvetica"/>
    </font>
    <font>
      <sz val="10"/>
      <color theme="1"/>
      <name val="Helvetica"/>
    </font>
    <font>
      <sz val="9"/>
      <color theme="1"/>
      <name val="Helvetica"/>
    </font>
    <font>
      <b/>
      <sz val="10"/>
      <color theme="1"/>
      <name val="Helvetic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1" xfId="0" applyFont="1" applyFill="1" applyBorder="1"/>
    <xf numFmtId="0" fontId="2" fillId="2" borderId="7" xfId="0" applyFont="1" applyFill="1" applyBorder="1"/>
    <xf numFmtId="0" fontId="3" fillId="2" borderId="7" xfId="0" applyFont="1" applyFill="1" applyBorder="1"/>
    <xf numFmtId="0" fontId="3" fillId="2" borderId="4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horizontal="left" vertical="top" wrapText="1"/>
    </xf>
    <xf numFmtId="0" fontId="7" fillId="2" borderId="8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CE397-713C-4F42-965C-A65E1BE37243}">
  <dimension ref="A1:AG30"/>
  <sheetViews>
    <sheetView topLeftCell="I1" workbookViewId="0">
      <selection sqref="A1:AF20"/>
    </sheetView>
  </sheetViews>
  <sheetFormatPr baseColWidth="10" defaultRowHeight="15"/>
  <cols>
    <col min="5" max="15" width="7.5703125" customWidth="1"/>
    <col min="16" max="16" width="4.28515625" customWidth="1"/>
    <col min="17" max="17" width="4.7109375" customWidth="1"/>
    <col min="20" max="32" width="3.28515625" customWidth="1"/>
  </cols>
  <sheetData>
    <row r="1" spans="1:32">
      <c r="B1" t="s">
        <v>5</v>
      </c>
      <c r="C1" t="s">
        <v>12</v>
      </c>
      <c r="D1" t="s">
        <v>31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29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30</v>
      </c>
      <c r="Q1" t="s">
        <v>8</v>
      </c>
      <c r="R1" t="s">
        <v>12</v>
      </c>
      <c r="S1" t="s">
        <v>31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29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30</v>
      </c>
      <c r="AF1" t="s">
        <v>8</v>
      </c>
    </row>
    <row r="2" spans="1:32">
      <c r="A2" t="s">
        <v>0</v>
      </c>
      <c r="B2">
        <v>50</v>
      </c>
      <c r="C2">
        <f>SUM($B$2*R2)/100</f>
        <v>20.5</v>
      </c>
      <c r="D2">
        <f t="shared" ref="D2:L2" si="0">SUM($B$2*S2)/100</f>
        <v>86</v>
      </c>
      <c r="E2">
        <f t="shared" si="0"/>
        <v>0.55000000000000004</v>
      </c>
      <c r="F2">
        <f t="shared" si="0"/>
        <v>0.05</v>
      </c>
      <c r="G2">
        <f t="shared" si="0"/>
        <v>0.02</v>
      </c>
      <c r="H2">
        <f t="shared" si="0"/>
        <v>5.0000000000000001E-3</v>
      </c>
      <c r="I2">
        <f t="shared" si="0"/>
        <v>0.02</v>
      </c>
      <c r="J2">
        <f t="shared" si="0"/>
        <v>0</v>
      </c>
      <c r="K2">
        <f t="shared" si="0"/>
        <v>0</v>
      </c>
      <c r="L2">
        <f t="shared" si="0"/>
        <v>4.6500000000000004</v>
      </c>
      <c r="M2">
        <f>SUM($B$2*AB2)/100</f>
        <v>2.1</v>
      </c>
      <c r="N2">
        <f t="shared" ref="N2" si="1">SUM($B$2*AC2)/100</f>
        <v>0</v>
      </c>
      <c r="O2">
        <f>SUM($B$2*AD2)/100</f>
        <v>0.85</v>
      </c>
      <c r="P2">
        <f t="shared" ref="P2:Q2" si="2">SUM($B$2*AE2)/100</f>
        <v>2</v>
      </c>
      <c r="Q2">
        <f t="shared" si="2"/>
        <v>5.0000000000000001E-3</v>
      </c>
      <c r="R2">
        <v>41</v>
      </c>
      <c r="S2">
        <v>172</v>
      </c>
      <c r="T2">
        <v>1.1000000000000001</v>
      </c>
      <c r="U2">
        <v>0.1</v>
      </c>
      <c r="V2">
        <v>0.04</v>
      </c>
      <c r="W2">
        <v>0.01</v>
      </c>
      <c r="X2">
        <v>0.04</v>
      </c>
      <c r="Y2">
        <v>0</v>
      </c>
      <c r="Z2">
        <v>0</v>
      </c>
      <c r="AA2">
        <v>9.3000000000000007</v>
      </c>
      <c r="AB2">
        <v>4.2</v>
      </c>
      <c r="AC2">
        <v>0</v>
      </c>
      <c r="AD2">
        <v>1.7</v>
      </c>
      <c r="AE2">
        <v>4</v>
      </c>
      <c r="AF2">
        <v>0.01</v>
      </c>
    </row>
    <row r="3" spans="1:32">
      <c r="A3" t="s">
        <v>1</v>
      </c>
      <c r="B3">
        <v>5</v>
      </c>
      <c r="C3">
        <f>SUM($B$3*R3)/100</f>
        <v>7.45</v>
      </c>
      <c r="D3">
        <f t="shared" ref="D3:M3" si="3">SUM($B$3*S3)/100</f>
        <v>31.15</v>
      </c>
      <c r="E3">
        <f t="shared" si="3"/>
        <v>0.318</v>
      </c>
      <c r="F3">
        <f t="shared" si="3"/>
        <v>2.5000000000000001E-2</v>
      </c>
      <c r="G3">
        <f t="shared" si="3"/>
        <v>1.2500000000000001E-2</v>
      </c>
      <c r="H3">
        <f t="shared" si="3"/>
        <v>5.0000000000000001E-4</v>
      </c>
      <c r="I3">
        <f t="shared" si="3"/>
        <v>4.4999999999999997E-3</v>
      </c>
      <c r="J3">
        <f t="shared" si="3"/>
        <v>0</v>
      </c>
      <c r="K3">
        <f t="shared" si="3"/>
        <v>0</v>
      </c>
      <c r="L3">
        <f t="shared" si="3"/>
        <v>1.653</v>
      </c>
      <c r="M3">
        <f t="shared" si="3"/>
        <v>0.05</v>
      </c>
      <c r="N3">
        <f>SUM($B$3*AC3)/100</f>
        <v>0</v>
      </c>
      <c r="O3">
        <f t="shared" ref="O3" si="4">SUM($B$3*AD3)/100</f>
        <v>0.105</v>
      </c>
      <c r="P3">
        <f t="shared" ref="P3" si="5">SUM($B$3*AE3)/100</f>
        <v>0.85</v>
      </c>
      <c r="Q3">
        <f t="shared" ref="Q3" si="6">SUM($B$3*AF3)/100</f>
        <v>2E-3</v>
      </c>
      <c r="R3">
        <v>149</v>
      </c>
      <c r="S3">
        <v>623</v>
      </c>
      <c r="T3">
        <v>6.36</v>
      </c>
      <c r="U3">
        <v>0.5</v>
      </c>
      <c r="V3">
        <v>0.25</v>
      </c>
      <c r="W3">
        <v>0.01</v>
      </c>
      <c r="X3">
        <v>0.09</v>
      </c>
      <c r="Y3">
        <v>0</v>
      </c>
      <c r="Z3">
        <v>0</v>
      </c>
      <c r="AA3">
        <v>33.06</v>
      </c>
      <c r="AB3">
        <v>1</v>
      </c>
      <c r="AC3">
        <v>0</v>
      </c>
      <c r="AD3">
        <v>2.1</v>
      </c>
      <c r="AE3">
        <v>17</v>
      </c>
      <c r="AF3">
        <v>0.04</v>
      </c>
    </row>
    <row r="4" spans="1:32">
      <c r="A4" t="s">
        <v>2</v>
      </c>
      <c r="B4">
        <v>20</v>
      </c>
      <c r="C4">
        <f>SUM($B$4*R4)/100</f>
        <v>166</v>
      </c>
      <c r="D4">
        <f t="shared" ref="D4:J4" si="7">SUM($B$4*S4)/100</f>
        <v>680</v>
      </c>
      <c r="E4">
        <f t="shared" si="7"/>
        <v>0</v>
      </c>
      <c r="F4">
        <f t="shared" si="7"/>
        <v>18.399999999999999</v>
      </c>
      <c r="G4">
        <f t="shared" si="7"/>
        <v>11.4</v>
      </c>
      <c r="H4">
        <f t="shared" si="7"/>
        <v>4</v>
      </c>
      <c r="I4">
        <f t="shared" si="7"/>
        <v>2.8</v>
      </c>
      <c r="J4">
        <f t="shared" si="7"/>
        <v>130</v>
      </c>
      <c r="K4">
        <f>SUM($B$4*Z4)/100</f>
        <v>0</v>
      </c>
      <c r="L4">
        <f t="shared" ref="L4" si="8">SUM($B$4*AA4)/100</f>
        <v>0</v>
      </c>
      <c r="M4">
        <f t="shared" ref="M4" si="9">SUM($B$4*AB4)/100</f>
        <v>0</v>
      </c>
      <c r="N4">
        <f t="shared" ref="N4" si="10">SUM($B$4*AC4)/100</f>
        <v>0</v>
      </c>
      <c r="O4">
        <f>SUM($B$4*AD4)/100</f>
        <v>0</v>
      </c>
      <c r="P4">
        <f t="shared" ref="P4:Q4" si="11">SUM($B$4*AE4)/100</f>
        <v>0</v>
      </c>
      <c r="Q4">
        <f t="shared" si="11"/>
        <v>0</v>
      </c>
      <c r="R4">
        <v>830</v>
      </c>
      <c r="S4">
        <v>3400</v>
      </c>
      <c r="T4">
        <v>0</v>
      </c>
      <c r="U4">
        <v>92</v>
      </c>
      <c r="V4">
        <v>57</v>
      </c>
      <c r="W4">
        <v>20</v>
      </c>
      <c r="X4">
        <v>14</v>
      </c>
      <c r="Y4">
        <v>650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3</v>
      </c>
      <c r="B5">
        <v>380</v>
      </c>
      <c r="C5">
        <f>SUM($B$5*R5)/100</f>
        <v>486.4</v>
      </c>
      <c r="D5">
        <f t="shared" ref="D5:L5" si="12">SUM($B$5*S5)/100</f>
        <v>2067.1999999999998</v>
      </c>
      <c r="E5">
        <f t="shared" si="12"/>
        <v>10.108000000000001</v>
      </c>
      <c r="F5">
        <f t="shared" si="12"/>
        <v>0</v>
      </c>
      <c r="G5">
        <f t="shared" si="12"/>
        <v>0</v>
      </c>
      <c r="H5">
        <f t="shared" si="12"/>
        <v>0</v>
      </c>
      <c r="I5">
        <f t="shared" si="12"/>
        <v>0</v>
      </c>
      <c r="J5">
        <f t="shared" si="12"/>
        <v>0</v>
      </c>
      <c r="K5">
        <f t="shared" si="12"/>
        <v>0</v>
      </c>
      <c r="L5">
        <f t="shared" si="12"/>
        <v>111.45399999999999</v>
      </c>
      <c r="M5">
        <f>SUM($B$5*AB5)/100</f>
        <v>0</v>
      </c>
      <c r="N5">
        <f t="shared" ref="N5" si="13">SUM($B$5*AC5)/100</f>
        <v>0</v>
      </c>
      <c r="O5">
        <f t="shared" ref="O5" si="14">SUM($B$5*AD5)/100</f>
        <v>3.8</v>
      </c>
      <c r="P5">
        <f t="shared" ref="P5" si="15">SUM($B$5*AE5)/100</f>
        <v>96.253999999999991</v>
      </c>
      <c r="Q5">
        <f t="shared" ref="Q5" si="16">SUM($B$5*AF5)/100</f>
        <v>0</v>
      </c>
      <c r="R5">
        <v>128</v>
      </c>
      <c r="S5">
        <v>544</v>
      </c>
      <c r="T5">
        <v>2.66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29.33</v>
      </c>
      <c r="AB5">
        <v>0</v>
      </c>
      <c r="AC5">
        <v>0</v>
      </c>
      <c r="AD5">
        <v>1</v>
      </c>
      <c r="AE5">
        <v>25.33</v>
      </c>
      <c r="AF5">
        <v>0</v>
      </c>
    </row>
    <row r="6" spans="1:32">
      <c r="A6" t="s">
        <v>4</v>
      </c>
      <c r="B6">
        <v>15</v>
      </c>
      <c r="C6">
        <f>SUM($B$6*R6)/100</f>
        <v>5.0999999999999996</v>
      </c>
      <c r="D6">
        <f t="shared" ref="D6:N6" si="17">SUM($B$6*S6)/100</f>
        <v>59.7</v>
      </c>
      <c r="E6">
        <f t="shared" si="17"/>
        <v>0.45</v>
      </c>
      <c r="F6">
        <f t="shared" si="17"/>
        <v>7.4999999999999997E-2</v>
      </c>
      <c r="G6">
        <f t="shared" si="17"/>
        <v>0</v>
      </c>
      <c r="H6">
        <f t="shared" si="17"/>
        <v>0</v>
      </c>
      <c r="I6">
        <f t="shared" si="17"/>
        <v>0</v>
      </c>
      <c r="J6">
        <f t="shared" si="17"/>
        <v>0</v>
      </c>
      <c r="K6">
        <f t="shared" si="17"/>
        <v>0</v>
      </c>
      <c r="L6">
        <f t="shared" si="17"/>
        <v>2.895</v>
      </c>
      <c r="M6">
        <f t="shared" si="17"/>
        <v>0.46500000000000002</v>
      </c>
      <c r="N6">
        <f t="shared" si="17"/>
        <v>0</v>
      </c>
      <c r="O6">
        <f>SUM($B$6*AD6)/100</f>
        <v>0.3</v>
      </c>
      <c r="P6">
        <f t="shared" ref="P6:Q6" si="18">SUM($B$6*AE6)/100</f>
        <v>0</v>
      </c>
      <c r="Q6">
        <f t="shared" si="18"/>
        <v>6.0000000000000001E-3</v>
      </c>
      <c r="R6">
        <v>34</v>
      </c>
      <c r="S6">
        <v>398</v>
      </c>
      <c r="T6">
        <v>3</v>
      </c>
      <c r="U6">
        <v>0.5</v>
      </c>
      <c r="V6">
        <v>0</v>
      </c>
      <c r="W6">
        <v>0</v>
      </c>
      <c r="X6">
        <v>0</v>
      </c>
      <c r="Y6">
        <v>0</v>
      </c>
      <c r="Z6">
        <v>0</v>
      </c>
      <c r="AA6">
        <v>19.3</v>
      </c>
      <c r="AB6">
        <v>3.1</v>
      </c>
      <c r="AC6">
        <v>0</v>
      </c>
      <c r="AD6">
        <v>2</v>
      </c>
      <c r="AE6">
        <v>0</v>
      </c>
      <c r="AF6">
        <v>0.04</v>
      </c>
    </row>
    <row r="7" spans="1:32">
      <c r="A7" t="s">
        <v>6</v>
      </c>
      <c r="B7">
        <v>10</v>
      </c>
      <c r="C7">
        <f>SUM($B$7*R7)/100</f>
        <v>2</v>
      </c>
      <c r="D7">
        <f>SUM($B$7*S7)/100</f>
        <v>8.4</v>
      </c>
      <c r="E7">
        <f>SUM($B$7*T7)/100</f>
        <v>0.09</v>
      </c>
      <c r="F7">
        <f>SUM($B$7*U7)/100</f>
        <v>0.01</v>
      </c>
      <c r="G7">
        <f>SUM($B$7*V7)/100</f>
        <v>5.0000000000000001E-3</v>
      </c>
      <c r="H7">
        <f>SUM($B$7*W7)/100</f>
        <v>1E-3</v>
      </c>
      <c r="I7">
        <f>SUM($B$7*X7)/100</f>
        <v>2E-3</v>
      </c>
      <c r="J7">
        <f>SUM($B$7*Y7)/100</f>
        <v>0</v>
      </c>
      <c r="K7">
        <f>SUM($B$7*Z7)/100</f>
        <v>0</v>
      </c>
      <c r="L7">
        <f>SUM($B$7*AA7)/100</f>
        <v>0.47</v>
      </c>
      <c r="M7">
        <f>SUM($B$7*AB7)/100</f>
        <v>0.23</v>
      </c>
      <c r="N7">
        <f>SUM($B$7*AC7)/100</f>
        <v>0</v>
      </c>
      <c r="O7">
        <f>SUM($B$7*AD7)/100</f>
        <v>0.18</v>
      </c>
      <c r="P7">
        <f>SUM($B$7*AE7)/100</f>
        <v>0.5</v>
      </c>
      <c r="Q7">
        <f>SUM($B$7*AF7)/100</f>
        <v>1E-3</v>
      </c>
      <c r="R7">
        <v>20</v>
      </c>
      <c r="S7">
        <v>84</v>
      </c>
      <c r="T7">
        <v>0.9</v>
      </c>
      <c r="U7">
        <v>0.1</v>
      </c>
      <c r="V7">
        <v>0.05</v>
      </c>
      <c r="W7">
        <v>0.01</v>
      </c>
      <c r="X7">
        <v>0.02</v>
      </c>
      <c r="Y7">
        <v>0</v>
      </c>
      <c r="Z7">
        <v>0</v>
      </c>
      <c r="AA7">
        <v>4.7</v>
      </c>
      <c r="AB7">
        <v>2.2999999999999998</v>
      </c>
      <c r="AC7">
        <v>0</v>
      </c>
      <c r="AD7">
        <v>1.8</v>
      </c>
      <c r="AE7">
        <v>5</v>
      </c>
      <c r="AF7">
        <v>0.01</v>
      </c>
    </row>
    <row r="8" spans="1:32">
      <c r="A8" t="s">
        <v>7</v>
      </c>
      <c r="B8">
        <v>5</v>
      </c>
      <c r="C8">
        <f>SUM($B$8*R8)/100</f>
        <v>6.45</v>
      </c>
      <c r="D8">
        <f t="shared" ref="D8:O8" si="19">SUM($B$8*S8)/100</f>
        <v>23</v>
      </c>
      <c r="E8">
        <f t="shared" si="19"/>
        <v>0.95</v>
      </c>
      <c r="F8">
        <f t="shared" si="19"/>
        <v>7.0000000000000007E-2</v>
      </c>
      <c r="G8">
        <f t="shared" si="19"/>
        <v>0</v>
      </c>
      <c r="H8">
        <f t="shared" si="19"/>
        <v>0</v>
      </c>
      <c r="I8">
        <f t="shared" si="19"/>
        <v>0.01</v>
      </c>
      <c r="J8">
        <f t="shared" si="19"/>
        <v>0</v>
      </c>
      <c r="K8">
        <f t="shared" si="19"/>
        <v>0</v>
      </c>
      <c r="L8">
        <f t="shared" si="19"/>
        <v>0.6</v>
      </c>
      <c r="M8">
        <f t="shared" si="19"/>
        <v>0.1</v>
      </c>
      <c r="N8">
        <f t="shared" si="19"/>
        <v>0</v>
      </c>
      <c r="O8">
        <f t="shared" si="19"/>
        <v>0.04</v>
      </c>
      <c r="P8">
        <f t="shared" ref="P8" si="20">SUM($B$8*AE8)/100</f>
        <v>0</v>
      </c>
      <c r="Q8">
        <f t="shared" ref="Q8" si="21">SUM($B$8*AF8)/100</f>
        <v>3.35</v>
      </c>
      <c r="R8">
        <v>129</v>
      </c>
      <c r="S8">
        <v>460</v>
      </c>
      <c r="T8">
        <v>19</v>
      </c>
      <c r="U8">
        <v>1.4</v>
      </c>
      <c r="X8">
        <v>0.2</v>
      </c>
      <c r="AA8">
        <v>12</v>
      </c>
      <c r="AB8">
        <v>2</v>
      </c>
      <c r="AC8">
        <v>0</v>
      </c>
      <c r="AD8">
        <v>0.8</v>
      </c>
      <c r="AE8">
        <v>0</v>
      </c>
      <c r="AF8">
        <v>67</v>
      </c>
    </row>
    <row r="9" spans="1:32">
      <c r="A9" t="s">
        <v>8</v>
      </c>
      <c r="B9">
        <v>20</v>
      </c>
      <c r="C9">
        <f>SUM($B$9*R9)/100</f>
        <v>0</v>
      </c>
      <c r="D9">
        <f t="shared" ref="D9:O9" si="22">SUM($B$9*S9)/100</f>
        <v>0</v>
      </c>
      <c r="E9">
        <f t="shared" si="22"/>
        <v>0</v>
      </c>
      <c r="F9">
        <f t="shared" si="22"/>
        <v>0</v>
      </c>
      <c r="G9">
        <f t="shared" si="22"/>
        <v>0</v>
      </c>
      <c r="H9">
        <f t="shared" si="22"/>
        <v>0</v>
      </c>
      <c r="I9">
        <f t="shared" si="22"/>
        <v>0</v>
      </c>
      <c r="J9">
        <f t="shared" si="22"/>
        <v>0</v>
      </c>
      <c r="K9">
        <f t="shared" si="22"/>
        <v>0</v>
      </c>
      <c r="L9">
        <f t="shared" si="22"/>
        <v>0</v>
      </c>
      <c r="M9">
        <f t="shared" si="22"/>
        <v>0</v>
      </c>
      <c r="N9">
        <f t="shared" si="22"/>
        <v>0</v>
      </c>
      <c r="O9">
        <f t="shared" si="22"/>
        <v>0</v>
      </c>
      <c r="P9">
        <f t="shared" ref="P9" si="23">SUM($B$9*AE9)/100</f>
        <v>7.7516000000000007</v>
      </c>
      <c r="Q9">
        <f t="shared" ref="Q9" si="24">SUM($B$9*AF9)/100</f>
        <v>20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38.758000000000003</v>
      </c>
      <c r="AF9">
        <v>100</v>
      </c>
    </row>
    <row r="10" spans="1:32">
      <c r="A10" t="s">
        <v>32</v>
      </c>
      <c r="C10">
        <f t="shared" ref="C10:P10" si="25">SUM(C2:C9)</f>
        <v>693.9</v>
      </c>
      <c r="D10">
        <f t="shared" si="25"/>
        <v>2955.45</v>
      </c>
      <c r="E10">
        <f t="shared" si="25"/>
        <v>12.465999999999999</v>
      </c>
      <c r="F10">
        <f t="shared" si="25"/>
        <v>18.63</v>
      </c>
      <c r="G10">
        <f t="shared" si="25"/>
        <v>11.437500000000002</v>
      </c>
      <c r="H10">
        <f t="shared" si="25"/>
        <v>4.0065</v>
      </c>
      <c r="I10">
        <f t="shared" si="25"/>
        <v>2.8364999999999996</v>
      </c>
      <c r="J10">
        <f t="shared" si="25"/>
        <v>130</v>
      </c>
      <c r="K10">
        <f t="shared" si="25"/>
        <v>0</v>
      </c>
      <c r="L10">
        <f t="shared" si="25"/>
        <v>121.72199999999998</v>
      </c>
      <c r="M10">
        <f t="shared" si="25"/>
        <v>2.9449999999999998</v>
      </c>
      <c r="N10">
        <f t="shared" si="25"/>
        <v>0</v>
      </c>
      <c r="O10">
        <f t="shared" si="25"/>
        <v>5.2749999999999995</v>
      </c>
      <c r="P10">
        <f t="shared" si="25"/>
        <v>107.35559999999998</v>
      </c>
      <c r="Q10">
        <f>SUM(Q2:Q9)</f>
        <v>23.364000000000001</v>
      </c>
    </row>
    <row r="11" spans="1:32">
      <c r="A11" t="s">
        <v>33</v>
      </c>
      <c r="C11" cm="1">
        <f t="array" ref="C11">SUM((C2:C9)/11.2)</f>
        <v>61.955357142857153</v>
      </c>
      <c r="D11" cm="1">
        <f t="array" ref="D11">SUM((D2:D9)/11.2)</f>
        <v>263.87946428571428</v>
      </c>
      <c r="E11" cm="1">
        <f t="array" ref="E11">SUM((E2:E9)/11.2)</f>
        <v>1.1130357142857146</v>
      </c>
      <c r="F11" cm="1">
        <f t="array" ref="F11">SUM((F2:F9)/11.2)</f>
        <v>1.6633928571428573</v>
      </c>
      <c r="G11" cm="1">
        <f t="array" ref="G11">SUM((G2:G9)/11.2)</f>
        <v>1.0212053571428572</v>
      </c>
      <c r="H11" cm="1">
        <f t="array" ref="H11">SUM((H2:H9)/11.2)</f>
        <v>0.3577232142857143</v>
      </c>
      <c r="I11" cm="1">
        <f t="array" ref="I11">SUM((I2:I9)/11.2)</f>
        <v>0.25325892857142857</v>
      </c>
      <c r="J11" cm="1">
        <f t="array" ref="J11">SUM((J2:J9)/11.2)</f>
        <v>11.607142857142858</v>
      </c>
      <c r="K11" cm="1">
        <f t="array" ref="K11">SUM((K2:K9)/11.2)</f>
        <v>0</v>
      </c>
      <c r="L11" cm="1">
        <f t="array" ref="L11">SUM((L2:L9)/11.2)</f>
        <v>10.868035714285716</v>
      </c>
      <c r="M11" cm="1">
        <f t="array" ref="M11">SUM((M2:M9)/11.2)</f>
        <v>0.26294642857142864</v>
      </c>
      <c r="N11" cm="1">
        <f t="array" ref="N11">SUM((N2:N9)/11.2)</f>
        <v>0</v>
      </c>
      <c r="O11" cm="1">
        <f t="array" ref="O11">SUM((O2:O9)/11.2)</f>
        <v>0.47098214285714285</v>
      </c>
      <c r="P11" cm="1">
        <f t="array" ref="P11">SUM((P2:P9)/11.2)</f>
        <v>9.5853214285714294</v>
      </c>
      <c r="Q11" cm="1">
        <f t="array" ref="Q11">SUM((Q2:Q9)/11.2)</f>
        <v>2.0860714285714286</v>
      </c>
    </row>
    <row r="12" spans="1:32">
      <c r="A12" t="s">
        <v>0</v>
      </c>
      <c r="B12">
        <v>50</v>
      </c>
      <c r="C12">
        <f>SUM($B$12*R12)/100</f>
        <v>20.5</v>
      </c>
      <c r="D12">
        <f t="shared" ref="D12:Q12" si="26">SUM($B$12*S12)/100</f>
        <v>86</v>
      </c>
      <c r="E12">
        <f t="shared" si="26"/>
        <v>0.55000000000000004</v>
      </c>
      <c r="F12">
        <f t="shared" si="26"/>
        <v>0.05</v>
      </c>
      <c r="G12">
        <f t="shared" si="26"/>
        <v>0.02</v>
      </c>
      <c r="H12">
        <f t="shared" si="26"/>
        <v>5.0000000000000001E-3</v>
      </c>
      <c r="I12">
        <f t="shared" si="26"/>
        <v>0.02</v>
      </c>
      <c r="J12">
        <f t="shared" si="26"/>
        <v>0</v>
      </c>
      <c r="K12">
        <f t="shared" si="26"/>
        <v>0</v>
      </c>
      <c r="L12">
        <f t="shared" si="26"/>
        <v>4.6500000000000004</v>
      </c>
      <c r="M12">
        <f t="shared" si="26"/>
        <v>2.1</v>
      </c>
      <c r="N12">
        <f t="shared" si="26"/>
        <v>0</v>
      </c>
      <c r="O12">
        <f t="shared" si="26"/>
        <v>0.85</v>
      </c>
      <c r="P12">
        <f t="shared" si="26"/>
        <v>2</v>
      </c>
      <c r="Q12">
        <f t="shared" si="26"/>
        <v>5.0000000000000001E-3</v>
      </c>
      <c r="R12">
        <v>41</v>
      </c>
      <c r="S12">
        <v>172</v>
      </c>
      <c r="T12">
        <v>1.1000000000000001</v>
      </c>
      <c r="U12">
        <v>0.1</v>
      </c>
      <c r="V12">
        <v>0.04</v>
      </c>
      <c r="W12">
        <v>0.01</v>
      </c>
      <c r="X12">
        <v>0.04</v>
      </c>
      <c r="Y12">
        <v>0</v>
      </c>
      <c r="Z12">
        <v>0</v>
      </c>
      <c r="AA12">
        <v>9.3000000000000007</v>
      </c>
      <c r="AB12">
        <v>4.2</v>
      </c>
      <c r="AC12">
        <v>0</v>
      </c>
      <c r="AD12">
        <v>1.7</v>
      </c>
      <c r="AE12">
        <v>4</v>
      </c>
      <c r="AF12">
        <v>0.01</v>
      </c>
    </row>
    <row r="13" spans="1:32">
      <c r="A13" t="s">
        <v>1</v>
      </c>
      <c r="B13">
        <v>5</v>
      </c>
      <c r="C13">
        <f>SUM($B$13*R13)/100</f>
        <v>7.45</v>
      </c>
      <c r="D13">
        <f t="shared" ref="D13:Q13" si="27">SUM($B$13*S13)/100</f>
        <v>31.15</v>
      </c>
      <c r="E13">
        <f t="shared" si="27"/>
        <v>0.318</v>
      </c>
      <c r="F13">
        <f t="shared" si="27"/>
        <v>2.5000000000000001E-2</v>
      </c>
      <c r="G13">
        <f t="shared" si="27"/>
        <v>1.2500000000000001E-2</v>
      </c>
      <c r="H13">
        <f t="shared" si="27"/>
        <v>5.0000000000000001E-4</v>
      </c>
      <c r="I13">
        <f t="shared" si="27"/>
        <v>4.4999999999999997E-3</v>
      </c>
      <c r="J13">
        <f t="shared" si="27"/>
        <v>0</v>
      </c>
      <c r="K13">
        <f t="shared" si="27"/>
        <v>0</v>
      </c>
      <c r="L13">
        <f t="shared" si="27"/>
        <v>1.653</v>
      </c>
      <c r="M13">
        <f t="shared" si="27"/>
        <v>0.05</v>
      </c>
      <c r="N13">
        <f t="shared" si="27"/>
        <v>0</v>
      </c>
      <c r="O13">
        <f t="shared" si="27"/>
        <v>0.105</v>
      </c>
      <c r="P13">
        <f t="shared" si="27"/>
        <v>0.85</v>
      </c>
      <c r="Q13">
        <f t="shared" si="27"/>
        <v>2E-3</v>
      </c>
      <c r="R13">
        <v>149</v>
      </c>
      <c r="S13">
        <v>623</v>
      </c>
      <c r="T13">
        <v>6.36</v>
      </c>
      <c r="U13">
        <v>0.5</v>
      </c>
      <c r="V13">
        <v>0.25</v>
      </c>
      <c r="W13">
        <v>0.01</v>
      </c>
      <c r="X13">
        <v>0.09</v>
      </c>
      <c r="Y13">
        <v>0</v>
      </c>
      <c r="Z13">
        <v>0</v>
      </c>
      <c r="AA13">
        <v>33.06</v>
      </c>
      <c r="AB13">
        <v>1</v>
      </c>
      <c r="AC13">
        <v>0</v>
      </c>
      <c r="AD13">
        <v>2.1</v>
      </c>
      <c r="AE13">
        <v>17</v>
      </c>
      <c r="AF13">
        <v>0.04</v>
      </c>
    </row>
    <row r="14" spans="1:32">
      <c r="A14" t="s">
        <v>2</v>
      </c>
      <c r="B14">
        <v>20</v>
      </c>
      <c r="C14">
        <f>SUM($B$14*R14)/100</f>
        <v>166</v>
      </c>
      <c r="D14">
        <f t="shared" ref="D14:Q14" si="28">SUM($B$14*S14)/100</f>
        <v>680</v>
      </c>
      <c r="E14">
        <f t="shared" si="28"/>
        <v>0</v>
      </c>
      <c r="F14">
        <f t="shared" si="28"/>
        <v>18.399999999999999</v>
      </c>
      <c r="G14">
        <f t="shared" si="28"/>
        <v>11.4</v>
      </c>
      <c r="H14">
        <f t="shared" si="28"/>
        <v>4</v>
      </c>
      <c r="I14">
        <f t="shared" si="28"/>
        <v>2.8</v>
      </c>
      <c r="J14">
        <f t="shared" si="28"/>
        <v>130</v>
      </c>
      <c r="K14">
        <f t="shared" si="28"/>
        <v>0</v>
      </c>
      <c r="L14">
        <f t="shared" si="28"/>
        <v>0</v>
      </c>
      <c r="M14">
        <f t="shared" si="28"/>
        <v>0</v>
      </c>
      <c r="N14">
        <f t="shared" si="28"/>
        <v>0</v>
      </c>
      <c r="O14">
        <f t="shared" si="28"/>
        <v>0</v>
      </c>
      <c r="P14">
        <f t="shared" si="28"/>
        <v>0</v>
      </c>
      <c r="Q14">
        <f t="shared" si="28"/>
        <v>0</v>
      </c>
      <c r="R14">
        <v>830</v>
      </c>
      <c r="S14">
        <v>3400</v>
      </c>
      <c r="T14">
        <v>0</v>
      </c>
      <c r="U14">
        <v>92</v>
      </c>
      <c r="V14">
        <v>57</v>
      </c>
      <c r="W14">
        <v>20</v>
      </c>
      <c r="X14">
        <v>14</v>
      </c>
      <c r="Y14">
        <v>650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8</v>
      </c>
      <c r="B15">
        <v>29</v>
      </c>
      <c r="C15">
        <f>SUM($B$15*R15)/100</f>
        <v>0</v>
      </c>
      <c r="D15">
        <f t="shared" ref="D15:Q15" si="29">SUM($B$15*S15)/100</f>
        <v>0</v>
      </c>
      <c r="E15">
        <f t="shared" si="29"/>
        <v>0</v>
      </c>
      <c r="F15">
        <f t="shared" si="29"/>
        <v>0</v>
      </c>
      <c r="G15">
        <f t="shared" si="29"/>
        <v>0</v>
      </c>
      <c r="H15">
        <f t="shared" si="29"/>
        <v>0</v>
      </c>
      <c r="I15">
        <f t="shared" si="29"/>
        <v>0</v>
      </c>
      <c r="J15">
        <f t="shared" si="29"/>
        <v>0</v>
      </c>
      <c r="K15">
        <f t="shared" si="29"/>
        <v>0</v>
      </c>
      <c r="L15">
        <f t="shared" si="29"/>
        <v>0</v>
      </c>
      <c r="M15">
        <f t="shared" si="29"/>
        <v>0</v>
      </c>
      <c r="N15">
        <f t="shared" si="29"/>
        <v>0</v>
      </c>
      <c r="O15">
        <f t="shared" si="29"/>
        <v>0</v>
      </c>
      <c r="P15">
        <f t="shared" si="29"/>
        <v>11.23982</v>
      </c>
      <c r="Q15">
        <f t="shared" si="29"/>
        <v>29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38.758000000000003</v>
      </c>
      <c r="AF15">
        <v>100</v>
      </c>
    </row>
    <row r="16" spans="1:32">
      <c r="A16" t="s">
        <v>7</v>
      </c>
      <c r="B16">
        <v>5</v>
      </c>
      <c r="C16">
        <f>SUM($B$16*R16)/100</f>
        <v>6.45</v>
      </c>
      <c r="D16">
        <f t="shared" ref="D16:Q16" si="30">SUM($B$16*S16)/100</f>
        <v>23</v>
      </c>
      <c r="E16">
        <f t="shared" si="30"/>
        <v>0.95</v>
      </c>
      <c r="F16">
        <f t="shared" si="30"/>
        <v>7.0000000000000007E-2</v>
      </c>
      <c r="G16">
        <f t="shared" si="30"/>
        <v>0</v>
      </c>
      <c r="H16">
        <f t="shared" si="30"/>
        <v>0</v>
      </c>
      <c r="I16">
        <f t="shared" si="30"/>
        <v>0.01</v>
      </c>
      <c r="J16">
        <f t="shared" si="30"/>
        <v>0</v>
      </c>
      <c r="K16">
        <f t="shared" si="30"/>
        <v>0</v>
      </c>
      <c r="L16">
        <f t="shared" si="30"/>
        <v>0.6</v>
      </c>
      <c r="M16">
        <f t="shared" si="30"/>
        <v>0.1</v>
      </c>
      <c r="N16">
        <f t="shared" si="30"/>
        <v>0</v>
      </c>
      <c r="O16">
        <f t="shared" si="30"/>
        <v>0.04</v>
      </c>
      <c r="P16">
        <f t="shared" si="30"/>
        <v>0</v>
      </c>
      <c r="Q16">
        <f t="shared" si="30"/>
        <v>3.35</v>
      </c>
      <c r="R16">
        <v>129</v>
      </c>
      <c r="S16">
        <v>460</v>
      </c>
      <c r="T16">
        <v>19</v>
      </c>
      <c r="U16">
        <v>1.4</v>
      </c>
      <c r="V16">
        <v>0</v>
      </c>
      <c r="W16">
        <v>0</v>
      </c>
      <c r="X16">
        <v>0.2</v>
      </c>
      <c r="Y16">
        <v>0</v>
      </c>
      <c r="Z16">
        <v>0</v>
      </c>
      <c r="AA16">
        <v>12</v>
      </c>
      <c r="AB16">
        <v>2</v>
      </c>
      <c r="AC16">
        <v>0</v>
      </c>
      <c r="AD16">
        <v>0.8</v>
      </c>
      <c r="AE16">
        <v>0</v>
      </c>
      <c r="AF16">
        <v>67</v>
      </c>
    </row>
    <row r="17" spans="1:33">
      <c r="A17" t="s">
        <v>3</v>
      </c>
      <c r="B17">
        <v>700</v>
      </c>
      <c r="C17">
        <f>SUM($B$17*R17)/100</f>
        <v>896</v>
      </c>
      <c r="D17">
        <f t="shared" ref="D17:Q17" si="31">SUM($B$17*S17)/100</f>
        <v>3808</v>
      </c>
      <c r="E17">
        <f t="shared" si="31"/>
        <v>18.62</v>
      </c>
      <c r="F17">
        <f t="shared" si="31"/>
        <v>0</v>
      </c>
      <c r="G17">
        <f t="shared" si="31"/>
        <v>0</v>
      </c>
      <c r="H17">
        <f t="shared" si="31"/>
        <v>0</v>
      </c>
      <c r="I17">
        <f t="shared" si="31"/>
        <v>0</v>
      </c>
      <c r="J17">
        <f t="shared" si="31"/>
        <v>0</v>
      </c>
      <c r="K17">
        <f t="shared" si="31"/>
        <v>0</v>
      </c>
      <c r="L17">
        <f t="shared" si="31"/>
        <v>205.31</v>
      </c>
      <c r="M17">
        <f t="shared" si="31"/>
        <v>0</v>
      </c>
      <c r="N17">
        <f t="shared" si="31"/>
        <v>0</v>
      </c>
      <c r="O17">
        <f t="shared" si="31"/>
        <v>7</v>
      </c>
      <c r="P17">
        <f t="shared" si="31"/>
        <v>177.31</v>
      </c>
      <c r="Q17">
        <f t="shared" si="31"/>
        <v>0</v>
      </c>
      <c r="R17">
        <v>128</v>
      </c>
      <c r="S17">
        <v>544</v>
      </c>
      <c r="T17">
        <v>2.66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29.33</v>
      </c>
      <c r="AB17">
        <v>0</v>
      </c>
      <c r="AC17">
        <v>0</v>
      </c>
      <c r="AD17">
        <v>1</v>
      </c>
      <c r="AE17">
        <v>25.33</v>
      </c>
      <c r="AF17">
        <v>0</v>
      </c>
    </row>
    <row r="18" spans="1:33">
      <c r="A18" t="s">
        <v>28</v>
      </c>
      <c r="B18">
        <v>44</v>
      </c>
      <c r="C18">
        <f>SUM($B$18*R18)/100</f>
        <v>30.36</v>
      </c>
      <c r="D18">
        <f t="shared" ref="D18:Q18" si="32">SUM($B$18*S18)/100</f>
        <v>129.36000000000001</v>
      </c>
      <c r="E18">
        <f t="shared" si="32"/>
        <v>1.32</v>
      </c>
      <c r="F18">
        <f t="shared" si="32"/>
        <v>0.22</v>
      </c>
      <c r="G18">
        <f t="shared" si="32"/>
        <v>0</v>
      </c>
      <c r="H18">
        <f t="shared" si="32"/>
        <v>0</v>
      </c>
      <c r="I18">
        <f t="shared" si="32"/>
        <v>0</v>
      </c>
      <c r="J18">
        <f t="shared" si="32"/>
        <v>0</v>
      </c>
      <c r="K18">
        <f t="shared" si="32"/>
        <v>0</v>
      </c>
      <c r="L18">
        <f t="shared" si="32"/>
        <v>5.8079999999999998</v>
      </c>
      <c r="M18">
        <f t="shared" si="32"/>
        <v>1.716</v>
      </c>
      <c r="N18">
        <f t="shared" si="32"/>
        <v>0</v>
      </c>
      <c r="O18">
        <f t="shared" si="32"/>
        <v>1.32</v>
      </c>
      <c r="P18">
        <f t="shared" si="32"/>
        <v>19.8</v>
      </c>
      <c r="Q18">
        <f t="shared" si="32"/>
        <v>0</v>
      </c>
      <c r="R18">
        <v>69</v>
      </c>
      <c r="S18">
        <v>294</v>
      </c>
      <c r="T18">
        <v>3</v>
      </c>
      <c r="U18">
        <v>0.5</v>
      </c>
      <c r="V18">
        <v>0</v>
      </c>
      <c r="W18">
        <v>0</v>
      </c>
      <c r="X18">
        <v>0</v>
      </c>
      <c r="Y18">
        <v>0</v>
      </c>
      <c r="Z18">
        <v>0</v>
      </c>
      <c r="AA18">
        <v>13.2</v>
      </c>
      <c r="AB18">
        <v>3.9</v>
      </c>
      <c r="AC18">
        <v>0</v>
      </c>
      <c r="AD18">
        <v>3</v>
      </c>
      <c r="AE18">
        <v>45</v>
      </c>
      <c r="AF18">
        <v>0</v>
      </c>
    </row>
    <row r="19" spans="1:33">
      <c r="A19" t="s">
        <v>32</v>
      </c>
      <c r="C19" cm="1">
        <f t="array" ref="C19">SUM((C12:C18)/7.5)</f>
        <v>150.23466666666667</v>
      </c>
      <c r="D19" cm="1">
        <f t="array" ref="D19">SUM((D12:D18)/7.5)</f>
        <v>634.33466666666675</v>
      </c>
      <c r="E19" cm="1">
        <f t="array" ref="E19">SUM((E12:E18)/7.5)</f>
        <v>2.9010666666666669</v>
      </c>
      <c r="F19" cm="1">
        <f t="array" ref="F19">SUM((F12:F18)/7.5)</f>
        <v>2.5019999999999993</v>
      </c>
      <c r="G19" cm="1">
        <f t="array" ref="G19">SUM((G12:G18)/7.5)</f>
        <v>1.5243333333333333</v>
      </c>
      <c r="H19" cm="1">
        <f t="array" ref="H19">SUM((H12:H18)/7.5)</f>
        <v>0.53406666666666669</v>
      </c>
      <c r="I19" cm="1">
        <f t="array" ref="I19">SUM((I12:I18)/7.5)</f>
        <v>0.37793333333333329</v>
      </c>
      <c r="J19" cm="1">
        <f t="array" ref="J19">SUM((J12:J18)/7.5)</f>
        <v>17.333333333333332</v>
      </c>
      <c r="K19" cm="1">
        <f t="array" ref="K19">SUM((K12:K18)/7.5)</f>
        <v>0</v>
      </c>
      <c r="L19" cm="1">
        <f t="array" ref="L19">SUM((L12:L18)/7.5)</f>
        <v>29.069466666666667</v>
      </c>
      <c r="M19" cm="1">
        <f t="array" ref="M19">SUM((M12:M18)/7.5)</f>
        <v>0.52879999999999994</v>
      </c>
      <c r="N19" cm="1">
        <f t="array" ref="N19">SUM((N12:N18)/7.5)</f>
        <v>0</v>
      </c>
      <c r="O19" cm="1">
        <f t="array" ref="O19">SUM((O12:O18)/7.5)</f>
        <v>1.242</v>
      </c>
      <c r="P19" cm="1">
        <f t="array" ref="P19">SUM((P12:P18)/7.5)</f>
        <v>28.159976</v>
      </c>
      <c r="Q19" cm="1">
        <f t="array" ref="Q19">SUM((Q12:Q18)/7.5)</f>
        <v>4.3142666666666667</v>
      </c>
    </row>
    <row r="20" spans="1:33">
      <c r="A20" t="s">
        <v>33</v>
      </c>
      <c r="C20" cm="1">
        <f t="array" ref="C20">SUM((C12:C18)/24)</f>
        <v>46.948333333333338</v>
      </c>
      <c r="D20" cm="1">
        <f t="array" ref="D20">SUM((D12:D18)/24)</f>
        <v>198.22958333333332</v>
      </c>
      <c r="E20" cm="1">
        <f t="array" ref="E20">SUM((E12:E18)/24)</f>
        <v>0.90658333333333341</v>
      </c>
      <c r="F20" cm="1">
        <f t="array" ref="F20">SUM((F12:F18)/24)</f>
        <v>0.78187499999999999</v>
      </c>
      <c r="G20" cm="1">
        <f t="array" ref="G20">SUM((G12:G18)/24)</f>
        <v>0.47635416666666669</v>
      </c>
      <c r="H20" cm="1">
        <f t="array" ref="H20">SUM((H12:H18)/24)</f>
        <v>0.16689583333333333</v>
      </c>
      <c r="I20" cm="1">
        <f t="array" ref="I20">SUM((I12:I18)/24)</f>
        <v>0.11810416666666665</v>
      </c>
      <c r="J20" cm="1">
        <f t="array" ref="J20">SUM((J12:J18)/24)</f>
        <v>5.416666666666667</v>
      </c>
      <c r="K20" cm="1">
        <f t="array" ref="K20">SUM((K12:K18)/24)</f>
        <v>0</v>
      </c>
      <c r="L20" cm="1">
        <f t="array" ref="L20">SUM((L12:L18)/24)</f>
        <v>9.0842083333333328</v>
      </c>
      <c r="M20" cm="1">
        <f t="array" ref="M20">SUM((M12:M18)/24)</f>
        <v>0.16525000000000001</v>
      </c>
      <c r="N20" cm="1">
        <f t="array" ref="N20">SUM((N12:N18)/24)</f>
        <v>0</v>
      </c>
      <c r="O20" cm="1">
        <f t="array" ref="O20">SUM((O12:O18)/24)</f>
        <v>0.388125</v>
      </c>
      <c r="P20" cm="1">
        <f t="array" ref="P20">SUM((P12:P18)/24)</f>
        <v>8.7999925000000001</v>
      </c>
      <c r="Q20" cm="1">
        <f t="array" ref="Q20">SUM((Q12:Q18)/24)</f>
        <v>1.3482083333333332</v>
      </c>
    </row>
    <row r="21" spans="1:33">
      <c r="A21">
        <v>320</v>
      </c>
    </row>
    <row r="28" spans="1:33">
      <c r="A28" t="s">
        <v>9</v>
      </c>
      <c r="B28">
        <v>14</v>
      </c>
      <c r="S28" t="s">
        <v>26</v>
      </c>
      <c r="T28">
        <v>5.42</v>
      </c>
      <c r="U28">
        <v>0.4</v>
      </c>
      <c r="V28">
        <v>0.18</v>
      </c>
      <c r="W28">
        <v>0.03</v>
      </c>
      <c r="X28">
        <v>7.0000000000000007E-2</v>
      </c>
      <c r="Y28">
        <v>0</v>
      </c>
      <c r="Z28">
        <v>0</v>
      </c>
      <c r="AA28">
        <v>14.45</v>
      </c>
      <c r="AB28">
        <v>5.6</v>
      </c>
      <c r="AC28">
        <v>0</v>
      </c>
      <c r="AD28">
        <v>5.0999999999999996</v>
      </c>
      <c r="AE28">
        <v>5</v>
      </c>
      <c r="AG28">
        <v>0.01</v>
      </c>
    </row>
    <row r="29" spans="1:33">
      <c r="A29" t="s">
        <v>10</v>
      </c>
      <c r="B29">
        <v>14</v>
      </c>
      <c r="S29" t="s">
        <v>27</v>
      </c>
      <c r="T29">
        <v>0.9</v>
      </c>
      <c r="U29">
        <v>0.2</v>
      </c>
      <c r="V29">
        <v>0.11</v>
      </c>
      <c r="W29">
        <v>0.01</v>
      </c>
      <c r="X29">
        <v>0.03</v>
      </c>
      <c r="Y29">
        <v>0</v>
      </c>
      <c r="Z29">
        <v>0</v>
      </c>
      <c r="AA29">
        <v>8.1</v>
      </c>
      <c r="AB29">
        <v>4.7</v>
      </c>
      <c r="AC29">
        <v>0</v>
      </c>
      <c r="AD29">
        <v>2.8</v>
      </c>
      <c r="AE29">
        <v>69</v>
      </c>
      <c r="AF29">
        <v>0.17</v>
      </c>
    </row>
    <row r="30" spans="1:33">
      <c r="A30" t="s">
        <v>11</v>
      </c>
      <c r="B30">
        <v>16</v>
      </c>
      <c r="S30" t="s">
        <v>24</v>
      </c>
      <c r="T30">
        <v>3.3</v>
      </c>
      <c r="U30">
        <v>1.4</v>
      </c>
      <c r="V30">
        <v>0.6</v>
      </c>
      <c r="W30">
        <v>0.4</v>
      </c>
      <c r="X30">
        <v>0.2</v>
      </c>
      <c r="Y30">
        <v>0</v>
      </c>
      <c r="Z30">
        <v>0</v>
      </c>
      <c r="AA30">
        <v>19.8</v>
      </c>
      <c r="AB30" t="s">
        <v>25</v>
      </c>
      <c r="AC30">
        <v>0</v>
      </c>
      <c r="AD30">
        <v>2.4</v>
      </c>
      <c r="AE30">
        <v>15</v>
      </c>
      <c r="AG30">
        <v>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9DF2-0247-494B-B443-05E567CD9EA5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A05D4-FF49-4740-B538-0756473E4A22}">
  <dimension ref="B2:J23"/>
  <sheetViews>
    <sheetView tabSelected="1" topLeftCell="A4" workbookViewId="0">
      <selection activeCell="K10" sqref="K10"/>
    </sheetView>
  </sheetViews>
  <sheetFormatPr baseColWidth="10" defaultRowHeight="15"/>
  <cols>
    <col min="3" max="3" width="25" customWidth="1"/>
    <col min="4" max="4" width="11.7109375" customWidth="1"/>
    <col min="5" max="5" width="12.85546875" customWidth="1"/>
    <col min="7" max="7" width="26.140625" customWidth="1"/>
    <col min="8" max="8" width="11" customWidth="1"/>
    <col min="9" max="9" width="12.28515625" customWidth="1"/>
  </cols>
  <sheetData>
    <row r="2" spans="2:10">
      <c r="C2" s="1"/>
      <c r="D2" t="s">
        <v>59</v>
      </c>
      <c r="H2" t="s">
        <v>60</v>
      </c>
    </row>
    <row r="4" spans="2:10" ht="15.75" thickBot="1">
      <c r="B4" s="3"/>
      <c r="C4" s="2"/>
      <c r="D4" s="2"/>
      <c r="E4" s="2"/>
      <c r="F4" s="2"/>
      <c r="G4" s="2"/>
      <c r="H4" s="2"/>
      <c r="I4" s="2"/>
      <c r="J4" s="2"/>
    </row>
    <row r="5" spans="2:10">
      <c r="B5" s="3"/>
      <c r="C5" s="16" t="s">
        <v>34</v>
      </c>
      <c r="D5" s="17"/>
      <c r="E5" s="18"/>
      <c r="F5" s="2"/>
      <c r="G5" s="16" t="s">
        <v>34</v>
      </c>
      <c r="H5" s="17"/>
      <c r="I5" s="18"/>
      <c r="J5" s="2"/>
    </row>
    <row r="6" spans="2:10" ht="23.25" customHeight="1" thickBot="1">
      <c r="B6" s="3"/>
      <c r="C6" s="19"/>
      <c r="D6" s="20"/>
      <c r="E6" s="21"/>
      <c r="F6" s="3"/>
      <c r="G6" s="19"/>
      <c r="H6" s="20"/>
      <c r="I6" s="21"/>
      <c r="J6" s="3"/>
    </row>
    <row r="7" spans="2:10" ht="27.75" customHeight="1" thickBot="1">
      <c r="B7" s="3"/>
      <c r="C7" s="22"/>
      <c r="D7" s="23" t="s">
        <v>48</v>
      </c>
      <c r="E7" s="24" t="s">
        <v>49</v>
      </c>
      <c r="F7" s="3"/>
      <c r="G7" s="22"/>
      <c r="H7" s="23" t="s">
        <v>48</v>
      </c>
      <c r="I7" s="24" t="s">
        <v>49</v>
      </c>
      <c r="J7" s="3"/>
    </row>
    <row r="8" spans="2:10" ht="29.25">
      <c r="B8" s="3"/>
      <c r="C8" s="4" t="s">
        <v>47</v>
      </c>
      <c r="D8" s="14" t="s">
        <v>74</v>
      </c>
      <c r="E8" s="15" t="s">
        <v>82</v>
      </c>
      <c r="F8" s="3"/>
      <c r="G8" s="4" t="s">
        <v>47</v>
      </c>
      <c r="H8" s="14" t="s">
        <v>61</v>
      </c>
      <c r="I8" s="15" t="s">
        <v>65</v>
      </c>
      <c r="J8" s="3"/>
    </row>
    <row r="9" spans="2:10">
      <c r="B9" s="3"/>
      <c r="C9" s="5" t="s">
        <v>35</v>
      </c>
      <c r="D9" s="8" t="s">
        <v>75</v>
      </c>
      <c r="E9" s="9" t="s">
        <v>39</v>
      </c>
      <c r="F9" s="3"/>
      <c r="G9" s="5" t="s">
        <v>35</v>
      </c>
      <c r="H9" s="8" t="s">
        <v>50</v>
      </c>
      <c r="I9" s="9" t="s">
        <v>66</v>
      </c>
      <c r="J9" s="3"/>
    </row>
    <row r="10" spans="2:10">
      <c r="B10" s="3"/>
      <c r="C10" s="5" t="s">
        <v>36</v>
      </c>
      <c r="D10" s="8" t="s">
        <v>57</v>
      </c>
      <c r="E10" s="9" t="s">
        <v>40</v>
      </c>
      <c r="F10" s="3"/>
      <c r="G10" s="5" t="s">
        <v>36</v>
      </c>
      <c r="H10" s="8" t="s">
        <v>51</v>
      </c>
      <c r="I10" s="9" t="s">
        <v>67</v>
      </c>
      <c r="J10" s="3"/>
    </row>
    <row r="11" spans="2:10">
      <c r="B11" s="3"/>
      <c r="C11" s="6" t="s">
        <v>41</v>
      </c>
      <c r="D11" s="8" t="s">
        <v>76</v>
      </c>
      <c r="E11" s="9" t="s">
        <v>58</v>
      </c>
      <c r="F11" s="3"/>
      <c r="G11" s="6" t="s">
        <v>41</v>
      </c>
      <c r="H11" s="10" t="s">
        <v>52</v>
      </c>
      <c r="I11" s="11" t="s">
        <v>68</v>
      </c>
      <c r="J11" s="3"/>
    </row>
    <row r="12" spans="2:10">
      <c r="B12" s="3"/>
      <c r="C12" s="5" t="s">
        <v>42</v>
      </c>
      <c r="D12" s="8" t="s">
        <v>77</v>
      </c>
      <c r="E12" s="9" t="s">
        <v>83</v>
      </c>
      <c r="F12" s="3"/>
      <c r="G12" s="5" t="s">
        <v>42</v>
      </c>
      <c r="H12" s="8" t="s">
        <v>62</v>
      </c>
      <c r="I12" s="9" t="s">
        <v>69</v>
      </c>
      <c r="J12" s="3"/>
    </row>
    <row r="13" spans="2:10">
      <c r="B13" s="3"/>
      <c r="C13" s="6" t="s">
        <v>53</v>
      </c>
      <c r="D13" s="10" t="s">
        <v>44</v>
      </c>
      <c r="E13" s="11" t="s">
        <v>44</v>
      </c>
      <c r="F13" s="3"/>
      <c r="G13" s="6" t="s">
        <v>53</v>
      </c>
      <c r="H13" s="10" t="s">
        <v>44</v>
      </c>
      <c r="I13" s="11" t="s">
        <v>23</v>
      </c>
      <c r="J13" s="3"/>
    </row>
    <row r="14" spans="2:10">
      <c r="B14" s="3"/>
      <c r="C14" s="5" t="s">
        <v>45</v>
      </c>
      <c r="D14" s="8" t="s">
        <v>78</v>
      </c>
      <c r="E14" s="9" t="s">
        <v>84</v>
      </c>
      <c r="F14" s="3"/>
      <c r="G14" s="5" t="s">
        <v>45</v>
      </c>
      <c r="H14" s="8" t="s">
        <v>63</v>
      </c>
      <c r="I14" s="9" t="s">
        <v>70</v>
      </c>
      <c r="J14" s="3"/>
    </row>
    <row r="15" spans="2:10">
      <c r="B15" s="3"/>
      <c r="C15" s="5" t="s">
        <v>54</v>
      </c>
      <c r="D15" s="8" t="s">
        <v>79</v>
      </c>
      <c r="E15" s="9" t="s">
        <v>85</v>
      </c>
      <c r="F15" s="3"/>
      <c r="G15" s="5" t="s">
        <v>54</v>
      </c>
      <c r="H15" s="8" t="s">
        <v>55</v>
      </c>
      <c r="I15" s="9" t="s">
        <v>71</v>
      </c>
      <c r="J15" s="3"/>
    </row>
    <row r="16" spans="2:10">
      <c r="B16" s="3"/>
      <c r="C16" s="6" t="s">
        <v>43</v>
      </c>
      <c r="D16" s="10" t="s">
        <v>46</v>
      </c>
      <c r="E16" s="11" t="s">
        <v>46</v>
      </c>
      <c r="F16" s="3"/>
      <c r="G16" s="6" t="s">
        <v>43</v>
      </c>
      <c r="H16" s="10" t="s">
        <v>46</v>
      </c>
      <c r="I16" s="11" t="s">
        <v>46</v>
      </c>
      <c r="J16" s="3"/>
    </row>
    <row r="17" spans="2:10">
      <c r="B17" s="3"/>
      <c r="C17" s="5" t="s">
        <v>37</v>
      </c>
      <c r="D17" s="8" t="s">
        <v>80</v>
      </c>
      <c r="E17" s="9" t="s">
        <v>86</v>
      </c>
      <c r="F17" s="3"/>
      <c r="G17" s="5" t="s">
        <v>37</v>
      </c>
      <c r="H17" s="8" t="s">
        <v>56</v>
      </c>
      <c r="I17" s="9" t="s">
        <v>72</v>
      </c>
      <c r="J17" s="3"/>
    </row>
    <row r="18" spans="2:10" ht="15.75" thickBot="1">
      <c r="B18" s="3"/>
      <c r="C18" s="7" t="s">
        <v>38</v>
      </c>
      <c r="D18" s="12" t="s">
        <v>81</v>
      </c>
      <c r="E18" s="13" t="s">
        <v>87</v>
      </c>
      <c r="F18" s="3"/>
      <c r="G18" s="7" t="s">
        <v>38</v>
      </c>
      <c r="H18" s="12" t="s">
        <v>64</v>
      </c>
      <c r="I18" s="13" t="s">
        <v>73</v>
      </c>
      <c r="J18" s="3"/>
    </row>
    <row r="19" spans="2:10">
      <c r="B19" s="3"/>
      <c r="C19" s="26" t="s">
        <v>88</v>
      </c>
      <c r="D19" s="25"/>
      <c r="E19" s="27"/>
      <c r="F19" s="3"/>
      <c r="G19" s="26" t="s">
        <v>89</v>
      </c>
      <c r="H19" s="25"/>
      <c r="I19" s="27"/>
      <c r="J19" s="3"/>
    </row>
    <row r="20" spans="2:10">
      <c r="B20" s="3"/>
      <c r="C20" s="28"/>
      <c r="D20" s="29"/>
      <c r="E20" s="30"/>
      <c r="F20" s="3"/>
      <c r="G20" s="28"/>
      <c r="H20" s="29"/>
      <c r="I20" s="30"/>
      <c r="J20" s="3"/>
    </row>
    <row r="21" spans="2:10" ht="27" customHeight="1" thickBot="1">
      <c r="B21" s="3"/>
      <c r="C21" s="31"/>
      <c r="D21" s="32"/>
      <c r="E21" s="33"/>
      <c r="F21" s="3"/>
      <c r="G21" s="31"/>
      <c r="H21" s="32"/>
      <c r="I21" s="33"/>
      <c r="J21" s="3"/>
    </row>
    <row r="22" spans="2:10">
      <c r="B22" s="3"/>
      <c r="C22" s="3"/>
      <c r="D22" s="3"/>
      <c r="E22" s="3"/>
      <c r="F22" s="3"/>
      <c r="G22" s="3"/>
      <c r="H22" s="3"/>
      <c r="I22" s="3"/>
      <c r="J22" s="3"/>
    </row>
    <row r="23" spans="2:10">
      <c r="B23" s="3"/>
      <c r="C23" s="3"/>
      <c r="D23" s="3"/>
      <c r="E23" s="3"/>
      <c r="F23" s="3"/>
      <c r="G23" s="3"/>
      <c r="H23" s="3"/>
      <c r="I23" s="3"/>
      <c r="J23" s="3"/>
    </row>
  </sheetData>
  <mergeCells count="4">
    <mergeCell ref="G19:I21"/>
    <mergeCell ref="C19:E21"/>
    <mergeCell ref="C5:E6"/>
    <mergeCell ref="G5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BEN RAMÍREZ</dc:creator>
  <cp:lastModifiedBy>ARI BEN RAMÍREZ</cp:lastModifiedBy>
  <dcterms:created xsi:type="dcterms:W3CDTF">2025-12-23T03:59:58Z</dcterms:created>
  <dcterms:modified xsi:type="dcterms:W3CDTF">2025-12-23T06:00:58Z</dcterms:modified>
</cp:coreProperties>
</file>